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5"/>
    <sheet state="visible" name="S.of.E. Activity 1" sheetId="2" r:id="rId6"/>
    <sheet state="visible" name="S.of.E. Activity 2" sheetId="3" r:id="rId7"/>
  </sheets>
  <definedNames/>
  <calcPr/>
</workbook>
</file>

<file path=xl/sharedStrings.xml><?xml version="1.0" encoding="utf-8"?>
<sst xmlns="http://schemas.openxmlformats.org/spreadsheetml/2006/main" count="50" uniqueCount="36">
  <si>
    <t>Activity 1</t>
  </si>
  <si>
    <t>Description</t>
  </si>
  <si>
    <t>actual</t>
  </si>
  <si>
    <t>expected</t>
  </si>
  <si>
    <t>I (current)</t>
  </si>
  <si>
    <t>voltage drop?</t>
  </si>
  <si>
    <t>I Expected</t>
  </si>
  <si>
    <t>Voltage Expected</t>
  </si>
  <si>
    <t>I Error</t>
  </si>
  <si>
    <t>Voltage Error</t>
  </si>
  <si>
    <t>Voltage Source A (V)</t>
  </si>
  <si>
    <t>Voltage Source B (V)</t>
  </si>
  <si>
    <t>R1 (ohms) (IRL:at E)</t>
  </si>
  <si>
    <t>R2 (ohms) (IRL: at D)</t>
  </si>
  <si>
    <t>R3 (ohms) (IRL:at C)</t>
  </si>
  <si>
    <t>Activity 2</t>
  </si>
  <si>
    <t>I (current) (mili amps?)</t>
  </si>
  <si>
    <t>I expected</t>
  </si>
  <si>
    <t>delta(V) expected</t>
  </si>
  <si>
    <t>Voltage Source (V)</t>
  </si>
  <si>
    <t>R1 (ohms)</t>
  </si>
  <si>
    <t>R2 (ohms)</t>
  </si>
  <si>
    <t>R3 (ohms)</t>
  </si>
  <si>
    <t>R4 (ohms) *</t>
  </si>
  <si>
    <t>R5 (ohms) *</t>
  </si>
  <si>
    <t>I6</t>
  </si>
  <si>
    <t>A</t>
  </si>
  <si>
    <t>b</t>
  </si>
  <si>
    <t>I_1</t>
  </si>
  <si>
    <t>I_2</t>
  </si>
  <si>
    <t>I_3</t>
  </si>
  <si>
    <t>E_v</t>
  </si>
  <si>
    <t>A^-1</t>
  </si>
  <si>
    <t>A^-1 * b</t>
  </si>
  <si>
    <t>I_4</t>
  </si>
  <si>
    <t>I_5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</si>
</sst>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4" max="4" width="19.38"/>
    <col customWidth="1" min="5" max="5" width="11.13"/>
    <col customWidth="1" min="6" max="6" width="10.5"/>
    <col customWidth="1" min="7" max="9" width="18.13"/>
    <col customWidth="1" min="10" max="10" width="4.75"/>
  </cols>
  <sheetData>
    <row r="2">
      <c r="A2" s="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>
      <c r="A4" s="1" t="s">
        <v>10</v>
      </c>
      <c r="B4" s="1">
        <v>6.0</v>
      </c>
      <c r="C4" s="1">
        <v>6.0</v>
      </c>
    </row>
    <row r="5">
      <c r="A5" s="1" t="s">
        <v>11</v>
      </c>
      <c r="B5" s="1">
        <v>1.5</v>
      </c>
      <c r="C5" s="1">
        <v>1.5</v>
      </c>
    </row>
    <row r="6">
      <c r="A6" s="1" t="s">
        <v>12</v>
      </c>
      <c r="B6" s="1">
        <v>2220.0</v>
      </c>
      <c r="C6" s="1">
        <v>2200.0</v>
      </c>
      <c r="D6" s="1">
        <f>1.6*(10^-3)</f>
        <v>0.0016</v>
      </c>
      <c r="E6" s="1">
        <v>3.5</v>
      </c>
      <c r="F6" s="1">
        <v>0.00183003885472858</v>
      </c>
      <c r="G6" s="2">
        <f t="shared" ref="G6:G8" si="2">B6*F6</f>
        <v>4.062686257</v>
      </c>
      <c r="H6" s="2">
        <f t="shared" ref="H6:I6" si="1">ABS(D6-F6)/ABS(F6)*100</f>
        <v>12.57016233</v>
      </c>
      <c r="I6" s="2">
        <f t="shared" si="1"/>
        <v>13.85010365</v>
      </c>
    </row>
    <row r="7">
      <c r="A7" s="1" t="s">
        <v>13</v>
      </c>
      <c r="B7" s="1">
        <v>1494.0</v>
      </c>
      <c r="C7" s="1">
        <v>1500.0</v>
      </c>
      <c r="D7" s="1">
        <f>1.2*(10^-3)</f>
        <v>0.0012</v>
      </c>
      <c r="E7" s="1">
        <v>2.3</v>
      </c>
      <c r="F7" s="1">
        <v>0.00129672941265231</v>
      </c>
      <c r="G7" s="2">
        <f t="shared" si="2"/>
        <v>1.937313743</v>
      </c>
      <c r="H7" s="2">
        <f t="shared" ref="H7:I7" si="3">ABS(D7-F7)/ABS(F7)*100</f>
        <v>7.459490909</v>
      </c>
      <c r="I7" s="2">
        <f t="shared" si="3"/>
        <v>18.72109042</v>
      </c>
    </row>
    <row r="8">
      <c r="A8" s="1" t="s">
        <v>14</v>
      </c>
      <c r="B8" s="1">
        <v>820.0</v>
      </c>
      <c r="C8" s="1">
        <v>820.0</v>
      </c>
      <c r="D8" s="1">
        <f>0.4*(10^-3)</f>
        <v>0.0004</v>
      </c>
      <c r="E8" s="1">
        <v>1.48</v>
      </c>
      <c r="F8" s="1">
        <v>5.33309442076276E-4</v>
      </c>
      <c r="G8" s="2">
        <f t="shared" si="2"/>
        <v>0.4373137425</v>
      </c>
      <c r="H8" s="2">
        <f t="shared" ref="H8:I8" si="4">ABS(D8-F8)/ABS(F8)*100</f>
        <v>24.99664014</v>
      </c>
      <c r="I8" s="2">
        <f t="shared" si="4"/>
        <v>238.4297945</v>
      </c>
    </row>
    <row r="16">
      <c r="A16" s="1" t="s">
        <v>15</v>
      </c>
    </row>
    <row r="17">
      <c r="A17" s="1" t="s">
        <v>1</v>
      </c>
      <c r="B17" s="1" t="s">
        <v>2</v>
      </c>
      <c r="C17" s="1" t="s">
        <v>3</v>
      </c>
      <c r="D17" s="1" t="s">
        <v>16</v>
      </c>
      <c r="E17" s="1" t="s">
        <v>5</v>
      </c>
      <c r="F17" s="1" t="s">
        <v>17</v>
      </c>
      <c r="G17" s="1" t="s">
        <v>18</v>
      </c>
      <c r="H17" s="1" t="s">
        <v>8</v>
      </c>
      <c r="I17" s="1" t="s">
        <v>9</v>
      </c>
    </row>
    <row r="18">
      <c r="A18" s="1" t="s">
        <v>19</v>
      </c>
      <c r="B18" s="1">
        <v>3.0</v>
      </c>
      <c r="C18" s="1">
        <v>3.0</v>
      </c>
    </row>
    <row r="19">
      <c r="A19" s="1" t="s">
        <v>20</v>
      </c>
      <c r="B19" s="1">
        <v>820.0</v>
      </c>
      <c r="C19" s="1">
        <v>820.0</v>
      </c>
      <c r="D19" s="1">
        <f>0.8*(10^-3)</f>
        <v>0.0008</v>
      </c>
      <c r="E19" s="1">
        <v>1.2</v>
      </c>
      <c r="F19" s="1">
        <v>0.00192177649571369</v>
      </c>
      <c r="G19" s="2">
        <f t="shared" ref="G19:G23" si="6">F19*C19</f>
        <v>1.575856726</v>
      </c>
      <c r="H19" s="2">
        <f t="shared" ref="H19:I19" si="5">ABS(D19-F19)/ABS(F19)*100</f>
        <v>58.37185012</v>
      </c>
      <c r="I19" s="2">
        <f t="shared" si="5"/>
        <v>23.85094534</v>
      </c>
    </row>
    <row r="20">
      <c r="A20" s="1" t="s">
        <v>21</v>
      </c>
      <c r="B20" s="1">
        <v>1494.0</v>
      </c>
      <c r="C20" s="1">
        <v>1500.0</v>
      </c>
      <c r="D20" s="1">
        <f>1.4*(10^-3)</f>
        <v>0.0014</v>
      </c>
      <c r="E20" s="1">
        <v>1.2</v>
      </c>
      <c r="F20" s="2">
        <v>0.0010999310938108547</v>
      </c>
      <c r="G20" s="2">
        <f t="shared" si="6"/>
        <v>1.649896641</v>
      </c>
      <c r="H20" s="2">
        <f t="shared" ref="H20:I20" si="7">ABS(D20-F20)/ABS(F20)*100</f>
        <v>27.28070039</v>
      </c>
      <c r="I20" s="2">
        <f t="shared" si="7"/>
        <v>27.26817121</v>
      </c>
    </row>
    <row r="21">
      <c r="A21" s="1" t="s">
        <v>22</v>
      </c>
      <c r="B21" s="1">
        <v>2220.0</v>
      </c>
      <c r="C21" s="1">
        <v>2200.0</v>
      </c>
      <c r="D21" s="1">
        <f> 30.7 * (10^-6)</f>
        <v>0.0000307</v>
      </c>
      <c r="E21" s="1">
        <v>0.097</v>
      </c>
      <c r="F21" s="1">
        <v>3.06546943946314E-5</v>
      </c>
      <c r="G21" s="2">
        <f t="shared" si="6"/>
        <v>0.06744032767</v>
      </c>
      <c r="H21" s="2">
        <f t="shared" ref="H21:I21" si="8">ABS(D21-F21)/ABS(F21)*100</f>
        <v>0.1477933682</v>
      </c>
      <c r="I21" s="2">
        <f t="shared" si="8"/>
        <v>43.83085515</v>
      </c>
    </row>
    <row r="22">
      <c r="A22" s="1" t="s">
        <v>23</v>
      </c>
      <c r="B22" s="1">
        <v>1800.0</v>
      </c>
      <c r="C22" s="1">
        <v>1800.0</v>
      </c>
      <c r="D22" s="1">
        <f>0.8*(10^-3)</f>
        <v>0.0008</v>
      </c>
      <c r="E22" s="1">
        <v>1.6</v>
      </c>
      <c r="F22" s="1">
        <v>7.91190707508207E-4</v>
      </c>
      <c r="G22" s="2">
        <f t="shared" si="6"/>
        <v>1.424143274</v>
      </c>
      <c r="H22" s="2">
        <f t="shared" ref="H22:I22" si="9">ABS(D22-F22)/ABS(F22)*100</f>
        <v>1.113422138</v>
      </c>
      <c r="I22" s="2">
        <f t="shared" si="9"/>
        <v>12.34824682</v>
      </c>
    </row>
    <row r="23">
      <c r="A23" s="1" t="s">
        <v>24</v>
      </c>
      <c r="B23" s="1">
        <v>1200.0</v>
      </c>
      <c r="C23" s="1">
        <v>1200.0</v>
      </c>
      <c r="D23" s="1">
        <f>1.4*(10^-3)</f>
        <v>0.0014</v>
      </c>
      <c r="E23" s="1">
        <v>1.7</v>
      </c>
      <c r="F23" s="1">
        <v>0.00113058578820549</v>
      </c>
      <c r="G23" s="2">
        <f t="shared" si="6"/>
        <v>1.356702946</v>
      </c>
      <c r="H23" s="2">
        <f t="shared" ref="H23:I23" si="10">ABS(D23-F23)/ABS(F23)*100</f>
        <v>23.82961245</v>
      </c>
      <c r="I23" s="2">
        <f t="shared" si="10"/>
        <v>25.30377451</v>
      </c>
    </row>
    <row r="24">
      <c r="A24" s="1" t="s">
        <v>25</v>
      </c>
      <c r="D24" s="1">
        <v>2.3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</v>
      </c>
      <c r="D1" s="1" t="s">
        <v>27</v>
      </c>
    </row>
    <row r="2">
      <c r="A2" s="1" t="s">
        <v>28</v>
      </c>
      <c r="B2" s="1" t="s">
        <v>29</v>
      </c>
      <c r="C2" s="1" t="s">
        <v>30</v>
      </c>
      <c r="D2" s="1" t="s">
        <v>31</v>
      </c>
    </row>
    <row r="3">
      <c r="A3" s="1">
        <v>1.0</v>
      </c>
      <c r="B3" s="1">
        <v>-1.0</v>
      </c>
      <c r="C3" s="1">
        <v>-1.0</v>
      </c>
      <c r="D3" s="1">
        <v>0.0</v>
      </c>
    </row>
    <row r="4">
      <c r="A4" s="1">
        <v>-2220.0</v>
      </c>
      <c r="B4" s="1">
        <v>-1494.0</v>
      </c>
      <c r="C4" s="1">
        <v>0.0</v>
      </c>
      <c r="D4" s="1">
        <v>6.0</v>
      </c>
    </row>
    <row r="5">
      <c r="A5" s="1">
        <v>0.0</v>
      </c>
      <c r="B5" s="1">
        <v>1494.0</v>
      </c>
      <c r="C5" s="1">
        <v>-820.0</v>
      </c>
      <c r="D5" s="1">
        <v>-1.5</v>
      </c>
    </row>
    <row r="6">
      <c r="A6" s="1" t="s">
        <v>32</v>
      </c>
      <c r="D6" s="1" t="s">
        <v>33</v>
      </c>
    </row>
    <row r="7">
      <c r="A7" s="2">
        <f t="array" ref="A7:C9">MINVERSE(A3:C5)</f>
        <v>0.1925572447</v>
      </c>
      <c r="B7" s="2">
        <v>-3.637129528336288E-4</v>
      </c>
      <c r="C7" s="2">
        <v>-2.348259081821268E-4</v>
      </c>
      <c r="D7" s="2">
        <f t="array" ref="D7:D9">MMULT(A7:C9,D3:D5)</f>
        <v>-0.001830038855</v>
      </c>
    </row>
    <row r="8">
      <c r="A8" s="2">
        <v>-0.2861292391263344</v>
      </c>
      <c r="B8" s="2">
        <v>-1.28887044651502E-4</v>
      </c>
      <c r="C8" s="2">
        <v>3.489380964955298E-4</v>
      </c>
      <c r="D8" s="2">
        <v>-0.0012967294126523068</v>
      </c>
    </row>
    <row r="9">
      <c r="A9" s="2">
        <v>-0.5213135161643215</v>
      </c>
      <c r="B9" s="2">
        <v>-2.3482590818212683E-4</v>
      </c>
      <c r="C9" s="2">
        <v>-5.837640046776567E-4</v>
      </c>
      <c r="D9" s="2">
        <v>-5.33309442076276E-4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</v>
      </c>
      <c r="F1" s="1" t="s">
        <v>27</v>
      </c>
    </row>
    <row r="2">
      <c r="A2" s="1" t="s">
        <v>28</v>
      </c>
      <c r="B2" s="1" t="s">
        <v>29</v>
      </c>
      <c r="C2" s="1" t="s">
        <v>30</v>
      </c>
      <c r="D2" s="1" t="s">
        <v>34</v>
      </c>
      <c r="E2" s="1" t="s">
        <v>35</v>
      </c>
      <c r="F2" s="1" t="s">
        <v>31</v>
      </c>
    </row>
    <row r="3">
      <c r="A3" s="1">
        <v>1.0</v>
      </c>
      <c r="B3" s="1">
        <v>0.0</v>
      </c>
      <c r="C3" s="1">
        <v>0.0</v>
      </c>
      <c r="D3" s="1">
        <v>-1.0</v>
      </c>
      <c r="E3" s="1">
        <v>-1.0</v>
      </c>
      <c r="F3" s="1">
        <v>0.0</v>
      </c>
    </row>
    <row r="4">
      <c r="A4" s="1">
        <v>0.0</v>
      </c>
      <c r="B4" s="1">
        <v>-1.0</v>
      </c>
      <c r="C4" s="1">
        <v>1.0</v>
      </c>
      <c r="D4" s="1">
        <v>0.0</v>
      </c>
      <c r="E4" s="1">
        <v>-1.0</v>
      </c>
      <c r="F4" s="1">
        <v>0.0</v>
      </c>
    </row>
    <row r="5">
      <c r="A5" s="1">
        <v>-820.0</v>
      </c>
      <c r="B5" s="1">
        <v>0.0</v>
      </c>
      <c r="C5" s="1">
        <v>0.0</v>
      </c>
      <c r="D5" s="1">
        <v>-1800.0</v>
      </c>
      <c r="E5" s="1">
        <v>0.0</v>
      </c>
      <c r="F5" s="1">
        <v>3.0</v>
      </c>
    </row>
    <row r="6">
      <c r="A6" s="1">
        <v>0.0</v>
      </c>
      <c r="B6" s="1">
        <v>1494.0</v>
      </c>
      <c r="C6" s="1">
        <v>0.0</v>
      </c>
      <c r="D6" s="1">
        <v>0.0</v>
      </c>
      <c r="E6" s="1">
        <v>-1200.0</v>
      </c>
      <c r="F6" s="1">
        <v>3.0</v>
      </c>
    </row>
    <row r="7">
      <c r="A7" s="1">
        <v>-820.0</v>
      </c>
      <c r="B7" s="1">
        <v>0.0</v>
      </c>
      <c r="C7" s="1">
        <v>-2200.0</v>
      </c>
      <c r="D7" s="1">
        <v>0.0</v>
      </c>
      <c r="E7" s="1">
        <v>-1200.0</v>
      </c>
      <c r="F7" s="1">
        <v>3.0</v>
      </c>
    </row>
    <row r="9">
      <c r="A9" s="1" t="s">
        <v>32</v>
      </c>
      <c r="F9" s="1" t="s">
        <v>33</v>
      </c>
    </row>
    <row r="10">
      <c r="A10" s="2">
        <f t="array" ref="A10:E14">MINVERSE(A3:E7)</f>
        <v>0.61948162</v>
      </c>
      <c r="B10" s="2">
        <v>-0.26375876841956597</v>
      </c>
      <c r="C10" s="2">
        <v>-3.441564555683476E-4</v>
      </c>
      <c r="D10" s="2">
        <v>-1.7654536038792898E-4</v>
      </c>
      <c r="E10" s="2">
        <v>-1.1989034928162088E-4</v>
      </c>
      <c r="F10" s="2">
        <f t="array" ref="F10:F14">MMULT(A10:E14,F3:F7)</f>
        <v>-0.001921776496</v>
      </c>
    </row>
    <row r="11">
      <c r="A11" s="2">
        <v>-0.07896392482805553</v>
      </c>
      <c r="B11" s="2">
        <v>-0.30836589614424936</v>
      </c>
      <c r="C11" s="2">
        <v>4.386884712669752E-5</v>
      </c>
      <c r="D11" s="2">
        <v>4.629411672394583E-4</v>
      </c>
      <c r="E11" s="2">
        <v>-1.4016631642920426E-4</v>
      </c>
      <c r="F11" s="2">
        <v>0.0010999310938108547</v>
      </c>
    </row>
    <row r="12">
      <c r="A12" s="2">
        <v>-0.17727401123898465</v>
      </c>
      <c r="B12" s="2">
        <v>0.30771856315616025</v>
      </c>
      <c r="C12" s="2">
        <v>9.848556179943589E-5</v>
      </c>
      <c r="D12" s="2">
        <v>2.0596958711925048E-4</v>
      </c>
      <c r="E12" s="2">
        <v>-3.1467338038356353E-4</v>
      </c>
      <c r="F12" s="2">
        <v>-3.065469439463139E-5</v>
      </c>
    </row>
    <row r="13">
      <c r="A13" s="2">
        <v>-0.2822082935660451</v>
      </c>
      <c r="B13" s="2">
        <v>0.12015677228002448</v>
      </c>
      <c r="C13" s="2">
        <v>-3.987731702410861E-4</v>
      </c>
      <c r="D13" s="2">
        <v>8.042621973227876E-5</v>
      </c>
      <c r="E13" s="2">
        <v>5.46167146727384E-5</v>
      </c>
      <c r="F13" s="2">
        <v>-7.911907075082069E-4</v>
      </c>
    </row>
    <row r="14">
      <c r="A14" s="2">
        <v>-0.09831008641092913</v>
      </c>
      <c r="B14" s="2">
        <v>-0.38391554069959044</v>
      </c>
      <c r="C14" s="2">
        <v>5.4616714672738415E-5</v>
      </c>
      <c r="D14" s="2">
        <v>-2.569715801202078E-4</v>
      </c>
      <c r="E14" s="2">
        <v>-1.745070639543593E-4</v>
      </c>
      <c r="F14" s="2">
        <v>-0.001130585788205486</v>
      </c>
    </row>
  </sheetData>
  <drawing r:id="rId1"/>
</worksheet>
</file>