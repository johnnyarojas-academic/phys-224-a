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ctivity 1" sheetId="1" state="visible" r:id="rId3"/>
    <sheet name="Activity 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<sst xmlns="http://schemas.openxmlformats.org/spreadsheetml/2006/main" count="49" uniqueCount="19">
  <si>
    <t xml:space="preserve">Activity 1</t>
  </si>
  <si>
    <t xml:space="preserve">#1</t>
  </si>
  <si>
    <t xml:space="preserve">(R)esistor</t>
  </si>
  <si>
    <t xml:space="preserve">Measured</t>
  </si>
  <si>
    <t xml:space="preserve">Expected</t>
  </si>
  <si>
    <t xml:space="preserve">% Error</t>
  </si>
  <si>
    <t xml:space="preserve">R1</t>
  </si>
  <si>
    <t xml:space="preserve">R2</t>
  </si>
  <si>
    <t xml:space="preserve">R3</t>
  </si>
  <si>
    <t xml:space="preserve">R4</t>
  </si>
  <si>
    <t xml:space="preserve">#2</t>
  </si>
  <si>
    <t xml:space="preserve">Resistance</t>
  </si>
  <si>
    <t xml:space="preserve">Activity 2</t>
  </si>
  <si>
    <t xml:space="preserve">Voltage</t>
  </si>
  <si>
    <t xml:space="preserve">Current</t>
  </si>
  <si>
    <t xml:space="preserve">expected current</t>
  </si>
  <si>
    <t xml:space="preserve">% difference</t>
  </si>
  <si>
    <t xml:space="preserve">#3</t>
  </si>
  <si>
    <t xml:space="preserve">Broken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</si>
</sst>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5" activeCellId="0" sqref="A1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4" min="4" style="0" width="16.43"/>
    <col collapsed="false" customWidth="true" hidden="false" outlineLevel="0" max="7" min="7" style="0" width="17.39"/>
  </cols>
  <sheetData>
    <row r="1" customFormat="false" ht="12.8" hidden="false" customHeight="false" outlineLevel="0" collapsed="false">
      <c r="A1" s="0" t="s">
        <v>0</v>
      </c>
    </row>
    <row r="3" customFormat="false" ht="12.8" hidden="false" customHeight="false" outlineLevel="0" collapsed="false">
      <c r="A3" s="0" t="s">
        <v>1</v>
      </c>
    </row>
    <row r="4" customFormat="false" ht="12.8" hidden="false" customHeight="false" outlineLevel="0" collapsed="false">
      <c r="A4" s="0" t="s">
        <v>2</v>
      </c>
      <c r="B4" s="0" t="s">
        <v>3</v>
      </c>
      <c r="C4" s="0" t="s">
        <v>4</v>
      </c>
      <c r="D4" s="0" t="s">
        <v>5</v>
      </c>
    </row>
    <row r="5" customFormat="false" ht="12.8" hidden="false" customHeight="false" outlineLevel="0" collapsed="false">
      <c r="A5" s="0" t="s">
        <v>6</v>
      </c>
      <c r="B5" s="0" t="n">
        <v>326</v>
      </c>
      <c r="C5" s="0" t="n">
        <v>330</v>
      </c>
      <c r="D5" s="0" t="n">
        <f aca="false">(ABS((B5-C5)/C5))*100</f>
        <v>1.21212121212121</v>
      </c>
    </row>
    <row r="6" customFormat="false" ht="12.8" hidden="false" customHeight="false" outlineLevel="0" collapsed="false">
      <c r="A6" s="0" t="s">
        <v>7</v>
      </c>
      <c r="B6" s="0" t="n">
        <v>985</v>
      </c>
      <c r="C6" s="0" t="n">
        <v>1000</v>
      </c>
      <c r="D6" s="0" t="n">
        <f aca="false">(ABS((B6-C6)/C6))*100</f>
        <v>1.5</v>
      </c>
    </row>
    <row r="7" customFormat="false" ht="12.8" hidden="false" customHeight="false" outlineLevel="0" collapsed="false">
      <c r="A7" s="0" t="s">
        <v>8</v>
      </c>
      <c r="B7" s="0" t="n">
        <v>10020</v>
      </c>
      <c r="C7" s="0" t="n">
        <v>10000</v>
      </c>
      <c r="D7" s="0" t="n">
        <f aca="false">(ABS((B7-C7)/C7))*100</f>
        <v>0.2</v>
      </c>
    </row>
    <row r="8" customFormat="false" ht="12.8" hidden="false" customHeight="false" outlineLevel="0" collapsed="false">
      <c r="A8" s="0" t="s">
        <v>9</v>
      </c>
      <c r="B8" s="0" t="n">
        <v>21600</v>
      </c>
      <c r="C8" s="0" t="n">
        <v>22000</v>
      </c>
      <c r="D8" s="0" t="n">
        <f aca="false">(ABS((B8-C8)/C8))*100</f>
        <v>1.81818181818182</v>
      </c>
    </row>
    <row r="10" customFormat="false" ht="12.8" hidden="false" customHeight="false" outlineLevel="0" collapsed="false">
      <c r="A10" s="0" t="s">
        <v>10</v>
      </c>
    </row>
    <row r="11" customFormat="false" ht="12.8" hidden="false" customHeight="false" outlineLevel="0" collapsed="false">
      <c r="A11" s="0" t="s">
        <v>2</v>
      </c>
    </row>
    <row r="12" customFormat="false" ht="12.8" hidden="false" customHeight="false" outlineLevel="0" collapsed="false">
      <c r="A12" s="0" t="s">
        <v>6</v>
      </c>
      <c r="B12" s="0" t="s">
        <v>7</v>
      </c>
      <c r="C12" s="0" t="s">
        <v>8</v>
      </c>
      <c r="D12" s="0" t="s">
        <v>9</v>
      </c>
      <c r="E12" s="0" t="s">
        <v>11</v>
      </c>
      <c r="F12" s="0" t="s">
        <v>4</v>
      </c>
      <c r="G12" s="0" t="s">
        <v>5</v>
      </c>
    </row>
    <row r="13" customFormat="false" ht="12.8" hidden="false" customHeight="false" outlineLevel="0" collapsed="false">
      <c r="A13" s="0" t="n">
        <v>326</v>
      </c>
      <c r="B13" s="0" t="n">
        <v>985</v>
      </c>
      <c r="C13" s="0" t="n">
        <v>0</v>
      </c>
      <c r="D13" s="0" t="n">
        <v>0</v>
      </c>
      <c r="E13" s="0" t="n">
        <v>1330</v>
      </c>
      <c r="F13" s="0" t="n">
        <f aca="false">SUM(A13:D13)</f>
        <v>1311</v>
      </c>
      <c r="G13" s="0" t="n">
        <f aca="false">(ABS((E13-F13)/F13))*100</f>
        <v>1.44927536231884</v>
      </c>
    </row>
    <row r="14" customFormat="false" ht="12.8" hidden="false" customHeight="false" outlineLevel="0" collapsed="false">
      <c r="A14" s="0" t="n">
        <v>326</v>
      </c>
      <c r="B14" s="0" t="n">
        <v>985</v>
      </c>
      <c r="C14" s="0" t="n">
        <v>10020</v>
      </c>
      <c r="D14" s="0" t="n">
        <v>21600</v>
      </c>
      <c r="E14" s="0" t="n">
        <v>33000</v>
      </c>
      <c r="F14" s="0" t="n">
        <f aca="false">SUM(A14:D14)</f>
        <v>32931</v>
      </c>
      <c r="G14" s="0" t="n">
        <f aca="false">(ABS((E14-F14)/F14))*100</f>
        <v>0.209529015213629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F4" activeCellId="0" sqref="F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4.39"/>
    <col collapsed="false" customWidth="true" hidden="false" outlineLevel="0" max="3" min="3" style="0" width="8.94"/>
    <col collapsed="false" customWidth="true" hidden="false" outlineLevel="0" max="4" min="4" style="0" width="17.39"/>
    <col collapsed="false" customWidth="true" hidden="false" outlineLevel="0" max="6" min="5" style="0" width="16.43"/>
  </cols>
  <sheetData>
    <row r="1" customFormat="false" ht="12.8" hidden="false" customHeight="false" outlineLevel="0" collapsed="false">
      <c r="A1" s="0" t="s">
        <v>12</v>
      </c>
    </row>
    <row r="3" customFormat="false" ht="12.8" hidden="false" customHeight="false" outlineLevel="0" collapsed="false">
      <c r="A3" s="0" t="s">
        <v>1</v>
      </c>
    </row>
    <row r="4" customFormat="false" ht="12.8" hidden="false" customHeight="false" outlineLevel="0" collapsed="false">
      <c r="A4" s="0" t="s">
        <v>2</v>
      </c>
      <c r="B4" s="0" t="s">
        <v>3</v>
      </c>
      <c r="C4" s="0" t="s">
        <v>4</v>
      </c>
      <c r="D4" s="0" t="s">
        <v>5</v>
      </c>
    </row>
    <row r="5" customFormat="false" ht="12.8" hidden="false" customHeight="false" outlineLevel="0" collapsed="false">
      <c r="A5" s="0" t="s">
        <v>6</v>
      </c>
      <c r="B5" s="0" t="n">
        <v>217</v>
      </c>
      <c r="C5" s="0" t="n">
        <v>220</v>
      </c>
      <c r="D5" s="0" t="n">
        <f aca="false">(ABS((B5-C5)/C5))*100</f>
        <v>1.36363636363636</v>
      </c>
    </row>
    <row r="6" customFormat="false" ht="12.8" hidden="false" customHeight="false" outlineLevel="0" collapsed="false">
      <c r="A6" s="0" t="s">
        <v>7</v>
      </c>
      <c r="B6" s="0" t="n">
        <v>324</v>
      </c>
      <c r="C6" s="0" t="n">
        <v>330</v>
      </c>
      <c r="D6" s="0" t="n">
        <f aca="false">(ABS((B6-C6)/C6))*100</f>
        <v>1.81818181818182</v>
      </c>
    </row>
    <row r="7" customFormat="false" ht="12.8" hidden="false" customHeight="false" outlineLevel="0" collapsed="false">
      <c r="A7" s="0" t="s">
        <v>8</v>
      </c>
      <c r="B7" s="0" t="n">
        <v>557</v>
      </c>
      <c r="C7" s="0" t="n">
        <v>560</v>
      </c>
      <c r="D7" s="0" t="n">
        <f aca="false">(ABS((B7-C7)/C7))*100</f>
        <v>0.535714285714286</v>
      </c>
    </row>
    <row r="8" customFormat="false" ht="12.8" hidden="false" customHeight="false" outlineLevel="0" collapsed="false">
      <c r="A8" s="0" t="s">
        <v>9</v>
      </c>
      <c r="B8" s="0" t="n">
        <v>985</v>
      </c>
      <c r="C8" s="0" t="n">
        <v>1000</v>
      </c>
      <c r="D8" s="0" t="n">
        <f aca="false">(ABS((B8-C8)/C8))*100</f>
        <v>1.5</v>
      </c>
    </row>
    <row r="10" customFormat="false" ht="12.8" hidden="false" customHeight="false" outlineLevel="0" collapsed="false">
      <c r="A10" s="0" t="s">
        <v>10</v>
      </c>
    </row>
    <row r="11" customFormat="false" ht="12.8" hidden="false" customHeight="false" outlineLevel="0" collapsed="false">
      <c r="A11" s="0" t="s">
        <v>2</v>
      </c>
      <c r="B11" s="0" t="s">
        <v>3</v>
      </c>
      <c r="C11" s="0" t="s">
        <v>13</v>
      </c>
      <c r="D11" s="0" t="s">
        <v>14</v>
      </c>
      <c r="E11" s="0" t="s">
        <v>15</v>
      </c>
      <c r="F11" s="0" t="s">
        <v>16</v>
      </c>
    </row>
    <row r="12" customFormat="false" ht="12.8" hidden="false" customHeight="false" outlineLevel="0" collapsed="false">
      <c r="A12" s="0" t="s">
        <v>6</v>
      </c>
      <c r="B12" s="0" t="n">
        <v>217</v>
      </c>
      <c r="C12" s="0" t="n">
        <v>6</v>
      </c>
      <c r="D12" s="0" t="n">
        <v>27.2</v>
      </c>
      <c r="E12" s="0" t="n">
        <f aca="false">C12/B12*1000</f>
        <v>27.6497695852535</v>
      </c>
      <c r="F12" s="0" t="n">
        <f aca="false">(ABS((D12-E12)/E12))*100</f>
        <v>1.62666666666668</v>
      </c>
    </row>
    <row r="13" customFormat="false" ht="12.8" hidden="false" customHeight="false" outlineLevel="0" collapsed="false">
      <c r="A13" s="0" t="s">
        <v>7</v>
      </c>
      <c r="B13" s="0" t="n">
        <v>324</v>
      </c>
      <c r="C13" s="0" t="n">
        <v>6</v>
      </c>
      <c r="D13" s="0" t="n">
        <v>18.3</v>
      </c>
      <c r="E13" s="0" t="n">
        <f aca="false">C13/B13*1000</f>
        <v>18.5185185185185</v>
      </c>
      <c r="F13" s="0" t="n">
        <f aca="false">(ABS((D13-E13)/E13))*100</f>
        <v>1.18</v>
      </c>
    </row>
    <row r="14" customFormat="false" ht="12.8" hidden="false" customHeight="false" outlineLevel="0" collapsed="false">
      <c r="A14" s="0" t="s">
        <v>8</v>
      </c>
      <c r="B14" s="0" t="n">
        <v>557</v>
      </c>
      <c r="C14" s="0" t="n">
        <v>6</v>
      </c>
      <c r="D14" s="0" t="n">
        <v>10.6</v>
      </c>
      <c r="E14" s="0" t="n">
        <f aca="false">C14/B14*1000</f>
        <v>10.7719928186715</v>
      </c>
      <c r="F14" s="0" t="n">
        <f aca="false">(ABS((D14-E14)/E14))*100</f>
        <v>1.59666666666668</v>
      </c>
    </row>
    <row r="15" customFormat="false" ht="12.8" hidden="false" customHeight="false" outlineLevel="0" collapsed="false">
      <c r="A15" s="0" t="s">
        <v>9</v>
      </c>
      <c r="B15" s="0" t="n">
        <v>985</v>
      </c>
      <c r="C15" s="0" t="n">
        <v>6</v>
      </c>
      <c r="D15" s="0" t="n">
        <v>6</v>
      </c>
      <c r="E15" s="0" t="n">
        <f aca="false">C15/B15*1000</f>
        <v>6.09137055837563</v>
      </c>
      <c r="F15" s="0" t="n">
        <f aca="false">(ABS((D15-E15)/E15))*100</f>
        <v>1.49999999999999</v>
      </c>
    </row>
    <row r="17" customFormat="false" ht="12.8" hidden="false" customHeight="false" outlineLevel="0" collapsed="false">
      <c r="A17" s="0" t="s">
        <v>17</v>
      </c>
    </row>
    <row r="18" customFormat="false" ht="12.8" hidden="false" customHeight="false" outlineLevel="0" collapsed="false">
      <c r="A18" s="0" t="s">
        <v>18</v>
      </c>
      <c r="B18" s="0" t="s">
        <v>14</v>
      </c>
      <c r="C18" s="0" t="s">
        <v>13</v>
      </c>
      <c r="D18" s="0" t="s">
        <v>11</v>
      </c>
    </row>
    <row r="19" customFormat="false" ht="12.8" hidden="false" customHeight="false" outlineLevel="0" collapsed="false">
      <c r="A19" s="0" t="s">
        <v>6</v>
      </c>
      <c r="B19" s="0" t="n">
        <v>6</v>
      </c>
      <c r="C19" s="0" t="n">
        <v>6</v>
      </c>
      <c r="D19" s="0" t="n">
        <f aca="false">C19/(B19*10^-4)</f>
        <v>10000</v>
      </c>
    </row>
    <row r="20" customFormat="false" ht="12.8" hidden="false" customHeight="false" outlineLevel="0" collapsed="false">
      <c r="A20" s="0" t="s">
        <v>7</v>
      </c>
      <c r="B20" s="0" t="n">
        <v>6</v>
      </c>
      <c r="C20" s="0" t="n">
        <v>6</v>
      </c>
      <c r="D20" s="0" t="n">
        <f aca="false">C20/(B20*10^-4)</f>
        <v>10000</v>
      </c>
    </row>
    <row r="21" customFormat="false" ht="12.8" hidden="false" customHeight="false" outlineLevel="0" collapsed="false">
      <c r="A21" s="0" t="s">
        <v>8</v>
      </c>
      <c r="B21" s="0" t="n">
        <v>3.9</v>
      </c>
      <c r="C21" s="0" t="n">
        <v>6</v>
      </c>
      <c r="D21" s="0" t="n">
        <f aca="false">C21/(B21*10^-6)</f>
        <v>1538461.53846154</v>
      </c>
    </row>
    <row r="22" customFormat="false" ht="12.8" hidden="false" customHeight="false" outlineLevel="0" collapsed="false">
      <c r="A22" s="0" t="s">
        <v>9</v>
      </c>
      <c r="B22" s="0" t="n">
        <v>2.5</v>
      </c>
      <c r="C22" s="0" t="n">
        <v>6</v>
      </c>
      <c r="D22" s="0" t="n">
        <f aca="false">C22/(B22*10^-6)</f>
        <v>2400000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2026-02-22T22:26:29Z</dcterms:created>
  <dc:creator/>
  <dc:description/>
  <dc:language>en-US</dc:language>
  <cp:lastModifiedBy/>
  <dcterms:modified xsi:type="dcterms:W3CDTF">2026-02-22T22:39:26Z</dcterms:modified>
  <cp:revision>1</cp:revision>
  <dc:subject/>
  <dc:title/>
</cp:coreProperties>
</file>