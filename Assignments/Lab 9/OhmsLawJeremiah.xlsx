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southern0-my.sharepoint.com/personal/jeremiahhasibuan_southern_edu/Documents/"/>
    </mc:Choice>
  </mc:AlternateContent>
  <xr:revisionPtr revIDLastSave="0" documentId="8_{B25F25FD-F2FE-426C-AAD8-3C83967F2245}" xr6:coauthVersionLast="47" xr6:coauthVersionMax="47" xr10:uidLastSave="{00000000-0000-0000-0000-000000000000}"/>
  <bookViews>
    <workbookView xWindow="14900" yWindow="720" windowWidth="14500" windowHeight="18400" xr2:uid="{FE4C98BD-E1CC-564E-8FDD-DE91B30077A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D24" i="1"/>
  <c r="D23" i="1"/>
  <c r="D21" i="1"/>
  <c r="D22" i="1"/>
  <c r="G22" i="1"/>
  <c r="D17" i="1"/>
  <c r="D16" i="1"/>
  <c r="D15" i="1"/>
  <c r="D14" i="1"/>
  <c r="B10" i="1"/>
  <c r="A10" i="1"/>
  <c r="E10" i="1"/>
  <c r="B9" i="1"/>
  <c r="A9" i="1"/>
  <c r="E9" i="1" s="1"/>
  <c r="D5" i="1"/>
  <c r="C5" i="1"/>
  <c r="B5" i="1"/>
  <c r="B4" i="1"/>
  <c r="A4" i="1"/>
  <c r="F4" i="1" s="1"/>
  <c r="A5" i="1"/>
  <c r="F5" i="1" s="1"/>
  <c r="L6" i="1"/>
  <c r="L7" i="1"/>
  <c r="L5" i="1"/>
</calcChain>
</file>

<file path=xl/sharedStrings.xml><?xml version="1.0" encoding="utf-8"?>
<sst xmlns="http://schemas.openxmlformats.org/spreadsheetml/2006/main" count="55" uniqueCount="35">
  <si>
    <t>Activity 1 #1</t>
  </si>
  <si>
    <t>ohms</t>
  </si>
  <si>
    <t>resistor 1 (ohm)</t>
  </si>
  <si>
    <t>resistor 2 (ohm)</t>
  </si>
  <si>
    <t>R3</t>
  </si>
  <si>
    <t>R4</t>
  </si>
  <si>
    <t>in series resistance</t>
  </si>
  <si>
    <t>expected</t>
  </si>
  <si>
    <t>% error</t>
  </si>
  <si>
    <t>Act 1 #1</t>
  </si>
  <si>
    <t>measured</t>
  </si>
  <si>
    <t>exp</t>
  </si>
  <si>
    <t>R1</t>
  </si>
  <si>
    <t>R2</t>
  </si>
  <si>
    <t>Act 1. #2</t>
  </si>
  <si>
    <t>Resistor 1</t>
  </si>
  <si>
    <t>Resistor 2</t>
  </si>
  <si>
    <t>parrellel resistance</t>
  </si>
  <si>
    <t>Act 2 #1</t>
  </si>
  <si>
    <t>Act 2 #2</t>
  </si>
  <si>
    <t>Resistor (ohms)</t>
  </si>
  <si>
    <t>Voltage</t>
  </si>
  <si>
    <t>Current (milli-amps)</t>
  </si>
  <si>
    <t>expected current</t>
  </si>
  <si>
    <t>% difference</t>
  </si>
  <si>
    <t>milli-amps</t>
  </si>
  <si>
    <t>Act 2 #3</t>
  </si>
  <si>
    <t>#5</t>
  </si>
  <si>
    <t>broken at</t>
  </si>
  <si>
    <t>current (micro amps)</t>
  </si>
  <si>
    <t>voltage</t>
  </si>
  <si>
    <t>Resistance</t>
  </si>
  <si>
    <t>#7, a and d</t>
  </si>
  <si>
    <t>measured resistance between a and d</t>
  </si>
  <si>
    <t>Early assignment results are Act 2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</si>
</sst>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C45B-A806-F148-AF26-60FD75355B10}">
  <dimension ref="A2:L26"/>
  <sheetViews>
    <sheetView tabSelected="1" topLeftCell="C1" workbookViewId="0">
      <selection activeCell="F20" sqref="F20"/>
    </sheetView>
  </sheetViews>
  <sheetFormatPr defaultColWidth="11" defaultRowHeight="15.95"/>
  <cols>
    <col min="1" max="1" width="30.625" bestFit="1" customWidth="1"/>
    <col min="2" max="2" width="18.375" bestFit="1" customWidth="1"/>
    <col min="3" max="3" width="17.875" bestFit="1" customWidth="1"/>
    <col min="4" max="4" width="15" bestFit="1" customWidth="1"/>
    <col min="5" max="5" width="16.875" bestFit="1" customWidth="1"/>
    <col min="9" max="9" width="7.625" customWidth="1"/>
  </cols>
  <sheetData>
    <row r="2" spans="1:12">
      <c r="A2" t="s">
        <v>0</v>
      </c>
      <c r="J2" t="s">
        <v>1</v>
      </c>
      <c r="K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I3" t="s">
        <v>9</v>
      </c>
      <c r="J3" t="s">
        <v>10</v>
      </c>
      <c r="K3" t="s">
        <v>11</v>
      </c>
      <c r="L3" t="s">
        <v>8</v>
      </c>
    </row>
    <row r="4" spans="1:12">
      <c r="A4">
        <f>$J$4</f>
        <v>326</v>
      </c>
      <c r="B4">
        <f>$J$5</f>
        <v>985</v>
      </c>
      <c r="E4">
        <v>1330</v>
      </c>
      <c r="F4">
        <f>SUM(A4:D4)</f>
        <v>1311</v>
      </c>
      <c r="G4">
        <v>1.44</v>
      </c>
      <c r="I4" t="s">
        <v>12</v>
      </c>
      <c r="J4">
        <v>326</v>
      </c>
      <c r="K4">
        <v>330</v>
      </c>
      <c r="L4">
        <f>(ABS((J4-K4)/K4))*100</f>
        <v>1.2121212121212122</v>
      </c>
    </row>
    <row r="5" spans="1:12">
      <c r="A5">
        <f>$J$4</f>
        <v>326</v>
      </c>
      <c r="B5">
        <f>$J$5</f>
        <v>985</v>
      </c>
      <c r="C5">
        <f>$J$6</f>
        <v>10020</v>
      </c>
      <c r="D5">
        <f>$J$7</f>
        <v>21600</v>
      </c>
      <c r="E5">
        <v>33000</v>
      </c>
      <c r="F5">
        <f>SUM(A5:D5)</f>
        <v>32931</v>
      </c>
      <c r="G5">
        <v>0.21</v>
      </c>
      <c r="I5" t="s">
        <v>13</v>
      </c>
      <c r="J5">
        <v>985</v>
      </c>
      <c r="K5">
        <v>1000</v>
      </c>
      <c r="L5">
        <f>(ABS((J5-K5)/K5))*100</f>
        <v>1.5</v>
      </c>
    </row>
    <row r="6" spans="1:12">
      <c r="I6" t="s">
        <v>4</v>
      </c>
      <c r="J6">
        <v>10020</v>
      </c>
      <c r="K6">
        <v>10000</v>
      </c>
      <c r="L6">
        <f>(ABS((J6-K6)/K6))*100</f>
        <v>0.2</v>
      </c>
    </row>
    <row r="7" spans="1:12">
      <c r="A7" t="s">
        <v>14</v>
      </c>
      <c r="I7" t="s">
        <v>5</v>
      </c>
      <c r="J7">
        <v>21600</v>
      </c>
      <c r="K7">
        <v>22000</v>
      </c>
      <c r="L7">
        <f>(ABS((J7-K7)/K7))*100</f>
        <v>1.8181818181818181</v>
      </c>
    </row>
    <row r="8" spans="1:12">
      <c r="A8" t="s">
        <v>15</v>
      </c>
      <c r="B8" t="s">
        <v>16</v>
      </c>
      <c r="C8" t="s">
        <v>17</v>
      </c>
      <c r="E8" t="s">
        <v>11</v>
      </c>
    </row>
    <row r="9" spans="1:12">
      <c r="A9">
        <f>$J$6</f>
        <v>10020</v>
      </c>
      <c r="B9">
        <f>$J$7</f>
        <v>21600</v>
      </c>
      <c r="C9">
        <v>6800</v>
      </c>
      <c r="E9">
        <f>1/(1/A9+1/B9)</f>
        <v>6844.7817836812146</v>
      </c>
      <c r="J9" t="s">
        <v>1</v>
      </c>
      <c r="K9" t="s">
        <v>1</v>
      </c>
    </row>
    <row r="10" spans="1:12">
      <c r="A10">
        <f>$J$4</f>
        <v>326</v>
      </c>
      <c r="B10">
        <f>$J$5</f>
        <v>985</v>
      </c>
      <c r="C10">
        <v>243</v>
      </c>
      <c r="E10">
        <f>1/(1/A10+1/B10)</f>
        <v>244.93516399694889</v>
      </c>
      <c r="I10" t="s">
        <v>18</v>
      </c>
      <c r="J10" t="s">
        <v>10</v>
      </c>
      <c r="K10" t="s">
        <v>11</v>
      </c>
    </row>
    <row r="11" spans="1:12">
      <c r="I11" t="s">
        <v>12</v>
      </c>
      <c r="J11">
        <v>217</v>
      </c>
      <c r="K11">
        <v>220</v>
      </c>
    </row>
    <row r="12" spans="1:12">
      <c r="A12" t="s">
        <v>19</v>
      </c>
      <c r="I12" t="s">
        <v>13</v>
      </c>
      <c r="J12">
        <v>324</v>
      </c>
      <c r="K12">
        <v>330</v>
      </c>
    </row>
    <row r="13" spans="1:12">
      <c r="A13" t="s">
        <v>20</v>
      </c>
      <c r="B13" t="s">
        <v>21</v>
      </c>
      <c r="C13" t="s">
        <v>22</v>
      </c>
      <c r="D13" t="s">
        <v>23</v>
      </c>
      <c r="F13" t="s">
        <v>24</v>
      </c>
      <c r="I13" t="s">
        <v>4</v>
      </c>
      <c r="J13">
        <v>557</v>
      </c>
      <c r="K13">
        <v>560</v>
      </c>
    </row>
    <row r="14" spans="1:12">
      <c r="A14">
        <v>217</v>
      </c>
      <c r="B14">
        <v>6</v>
      </c>
      <c r="C14">
        <v>27.2</v>
      </c>
      <c r="D14">
        <f>B14/A14*1000</f>
        <v>27.649769585253459</v>
      </c>
      <c r="E14" t="s">
        <v>25</v>
      </c>
      <c r="I14" t="s">
        <v>5</v>
      </c>
      <c r="J14">
        <v>985</v>
      </c>
      <c r="K14">
        <v>1000</v>
      </c>
    </row>
    <row r="15" spans="1:12">
      <c r="A15">
        <v>324</v>
      </c>
      <c r="B15">
        <v>6</v>
      </c>
      <c r="C15">
        <v>18.3</v>
      </c>
      <c r="D15">
        <f>B15/A15*1000</f>
        <v>18.518518518518519</v>
      </c>
      <c r="E15" t="s">
        <v>25</v>
      </c>
    </row>
    <row r="16" spans="1:12">
      <c r="A16">
        <v>557</v>
      </c>
      <c r="B16">
        <v>6</v>
      </c>
      <c r="C16">
        <v>10.6</v>
      </c>
      <c r="D16">
        <f>B16/A16*1000</f>
        <v>10.771992818671455</v>
      </c>
      <c r="E16" t="s">
        <v>25</v>
      </c>
    </row>
    <row r="17" spans="1:9">
      <c r="A17">
        <v>985</v>
      </c>
      <c r="B17">
        <v>6</v>
      </c>
      <c r="C17">
        <v>6</v>
      </c>
      <c r="D17">
        <f>B17/A17*1000</f>
        <v>6.0913705583756341</v>
      </c>
      <c r="E17" t="s">
        <v>25</v>
      </c>
    </row>
    <row r="19" spans="1:9">
      <c r="A19" t="s">
        <v>26</v>
      </c>
      <c r="I19" t="s">
        <v>27</v>
      </c>
    </row>
    <row r="20" spans="1:9">
      <c r="A20" t="s">
        <v>28</v>
      </c>
      <c r="B20" t="s">
        <v>29</v>
      </c>
      <c r="C20" t="s">
        <v>30</v>
      </c>
      <c r="D20" t="s">
        <v>31</v>
      </c>
    </row>
    <row r="21" spans="1:9">
      <c r="A21" t="s">
        <v>12</v>
      </c>
      <c r="B21">
        <v>6</v>
      </c>
      <c r="C21">
        <v>6</v>
      </c>
      <c r="D21">
        <f>C21/(B21*10^-4)</f>
        <v>9999.9999999999982</v>
      </c>
      <c r="G21" t="s">
        <v>32</v>
      </c>
      <c r="H21" t="s">
        <v>33</v>
      </c>
    </row>
    <row r="22" spans="1:9">
      <c r="A22" t="s">
        <v>13</v>
      </c>
      <c r="B22">
        <v>6</v>
      </c>
      <c r="C22">
        <v>6</v>
      </c>
      <c r="D22">
        <f>C22/(B22*10^-4)</f>
        <v>9999.9999999999982</v>
      </c>
      <c r="G22">
        <f>A14+A15+1/(1/A16+1/A17)</f>
        <v>896.80090791180282</v>
      </c>
      <c r="H22">
        <v>897</v>
      </c>
    </row>
    <row r="23" spans="1:9">
      <c r="A23" t="s">
        <v>4</v>
      </c>
      <c r="B23">
        <v>3.9</v>
      </c>
      <c r="C23">
        <v>6</v>
      </c>
      <c r="D23">
        <f>C23/(B23*10^-6)</f>
        <v>1538461.5384615385</v>
      </c>
    </row>
    <row r="24" spans="1:9">
      <c r="A24" t="s">
        <v>5</v>
      </c>
      <c r="B24">
        <v>2.5</v>
      </c>
      <c r="C24">
        <v>6</v>
      </c>
      <c r="D24">
        <f>C24/(B24*10^-6)</f>
        <v>2400000</v>
      </c>
    </row>
    <row r="26" spans="1:9">
      <c r="A2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Jeremiah Hasibuan</dc:creator>
  <cp:keywords/>
  <dc:description/>
  <cp:lastModifiedBy/>
  <cp:revision/>
  <dcterms:created xsi:type="dcterms:W3CDTF">2026-02-16T20:02:06Z</dcterms:created>
  <dcterms:modified xsi:type="dcterms:W3CDTF">2026-02-23T01:03:12Z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188ad8-4875-42e6-925c-bd11f6824504_Enabled">
    <vt:lpwstr>true</vt:lpwstr>
  </property>
  <property fmtid="{D5CDD505-2E9C-101B-9397-08002B2CF9AE}" pid="3" name="MSIP_Label_33188ad8-4875-42e6-925c-bd11f6824504_SetDate">
    <vt:lpwstr>2026-02-16T20:02:18Z</vt:lpwstr>
  </property>
  <property fmtid="{D5CDD505-2E9C-101B-9397-08002B2CF9AE}" pid="4" name="MSIP_Label_33188ad8-4875-42e6-925c-bd11f6824504_Method">
    <vt:lpwstr>Privileged</vt:lpwstr>
  </property>
  <property fmtid="{D5CDD505-2E9C-101B-9397-08002B2CF9AE}" pid="5" name="MSIP_Label_33188ad8-4875-42e6-925c-bd11f6824504_Name">
    <vt:lpwstr>defa4170-0d19-0005-0004-bc88714345d2</vt:lpwstr>
  </property>
  <property fmtid="{D5CDD505-2E9C-101B-9397-08002B2CF9AE}" pid="6" name="MSIP_Label_33188ad8-4875-42e6-925c-bd11f6824504_SiteId">
    <vt:lpwstr>8143a300-2c64-4dd4-bb14-bcd3f04c1963</vt:lpwstr>
  </property>
  <property fmtid="{D5CDD505-2E9C-101B-9397-08002B2CF9AE}" pid="7" name="MSIP_Label_33188ad8-4875-42e6-925c-bd11f6824504_ActionId">
    <vt:lpwstr>27781ce1-6d27-4dfb-978b-1613cb573748</vt:lpwstr>
  </property>
  <property fmtid="{D5CDD505-2E9C-101B-9397-08002B2CF9AE}" pid="8" name="MSIP_Label_33188ad8-4875-42e6-925c-bd11f6824504_ContentBits">
    <vt:lpwstr>0</vt:lpwstr>
  </property>
</Properties>
</file>