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https://southern0-my.sharepoint.com/personal/matthewmiller_southern_edu/Documents/"/>
    </mc:Choice>
  </mc:AlternateContent>
  <xr:revisionPtr revIDLastSave="0" documentId="8_{7600EEF0-9347-4862-8706-A981A0B30A13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1" l="1"/>
  <c r="D48" i="1"/>
  <c r="C46" i="1"/>
  <c r="C43" i="1"/>
  <c r="C35" i="1"/>
  <c r="C36" i="1"/>
  <c r="C37" i="1"/>
  <c r="C38" i="1"/>
  <c r="C39" i="1"/>
  <c r="C40" i="1"/>
  <c r="C41" i="1"/>
  <c r="C42" i="1"/>
  <c r="C28" i="1"/>
  <c r="C27" i="1"/>
  <c r="C26" i="1"/>
  <c r="C25" i="1"/>
  <c r="C24" i="1"/>
  <c r="C23" i="1"/>
  <c r="C22" i="1"/>
  <c r="C21" i="1"/>
  <c r="C15" i="1"/>
  <c r="C7" i="1"/>
  <c r="C8" i="1"/>
  <c r="C9" i="1"/>
  <c r="C10" i="1"/>
  <c r="C11" i="1"/>
  <c r="C12" i="1"/>
  <c r="C13" i="1"/>
  <c r="C14" i="1"/>
  <c r="C6" i="1"/>
</calcChain>
</file>

<file path=xl/sharedStrings.xml><?xml version="1.0" encoding="utf-8"?>
<sst xmlns="http://schemas.openxmlformats.org/spreadsheetml/2006/main" count="10" uniqueCount="10">
  <si>
    <t>Activity 1</t>
  </si>
  <si>
    <t>cm</t>
  </si>
  <si>
    <t>volt</t>
  </si>
  <si>
    <t>Activity 2</t>
  </si>
  <si>
    <t>Activity 3</t>
  </si>
  <si>
    <t>power and %error</t>
  </si>
  <si>
    <t>actual</t>
  </si>
  <si>
    <t>expected</t>
  </si>
  <si>
    <t>% error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</si>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</sst>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</a:t>
            </a:r>
            <a:r>
              <a:rPr lang="en-US" baseline="0"/>
              <a:t> Electrodes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3245401191803816"/>
                  <c:y val="-0.651049504228638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Sheet1!$A$6:$A$15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Sheet1!$C$6:$C$15</c:f>
              <c:numCache>
                <c:formatCode>General</c:formatCode>
                <c:ptCount val="10"/>
                <c:pt idx="0">
                  <c:v>9.1999999999999993</c:v>
                </c:pt>
                <c:pt idx="1">
                  <c:v>1</c:v>
                </c:pt>
                <c:pt idx="2">
                  <c:v>1</c:v>
                </c:pt>
                <c:pt idx="3">
                  <c:v>0.20000000000000018</c:v>
                </c:pt>
                <c:pt idx="4">
                  <c:v>0.5</c:v>
                </c:pt>
                <c:pt idx="5">
                  <c:v>0.5</c:v>
                </c:pt>
                <c:pt idx="6">
                  <c:v>0.59999999999999964</c:v>
                </c:pt>
                <c:pt idx="7">
                  <c:v>0.79999999999999982</c:v>
                </c:pt>
                <c:pt idx="8">
                  <c:v>0.90000000000000036</c:v>
                </c:pt>
                <c:pt idx="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57-4E21-B2B0-6D58FBEF8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25216"/>
        <c:axId val="64725696"/>
      </c:scatterChart>
      <c:valAx>
        <c:axId val="6472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25696"/>
        <c:crosses val="autoZero"/>
        <c:crossBetween val="midCat"/>
      </c:valAx>
      <c:valAx>
        <c:axId val="6472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Magnitude of Electrical Field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25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Flat</a:t>
            </a:r>
            <a:r>
              <a:rPr lang="en-US" baseline="0"/>
              <a:t> Electrodes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516382327209099"/>
                  <c:y val="-0.276144648585593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Sheet1!$A$21:$A$28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Sheet1!$C$21:$C$28</c:f>
              <c:numCache>
                <c:formatCode>General</c:formatCode>
                <c:ptCount val="8"/>
                <c:pt idx="0">
                  <c:v>1.2000000000000011</c:v>
                </c:pt>
                <c:pt idx="1">
                  <c:v>2.1999999999999993</c:v>
                </c:pt>
                <c:pt idx="2">
                  <c:v>1.9000000000000004</c:v>
                </c:pt>
                <c:pt idx="3">
                  <c:v>2.0999999999999996</c:v>
                </c:pt>
                <c:pt idx="4">
                  <c:v>2</c:v>
                </c:pt>
                <c:pt idx="5">
                  <c:v>1.9000000000000004</c:v>
                </c:pt>
                <c:pt idx="6">
                  <c:v>2.2999999999999998</c:v>
                </c:pt>
                <c:pt idx="7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DF-450B-86F0-65A45F44F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175664"/>
        <c:axId val="160176144"/>
      </c:scatterChart>
      <c:valAx>
        <c:axId val="16017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76144"/>
        <c:crosses val="autoZero"/>
        <c:crossBetween val="midCat"/>
      </c:valAx>
      <c:valAx>
        <c:axId val="16017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Magnitude of Electrical Field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75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Cyclindrical Electrodes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9.9114173228346449E-3"/>
                  <c:y val="-0.742644721493146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Sheet1!$A$35:$A$43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Sheet1!$C$35:$C$43</c:f>
              <c:numCache>
                <c:formatCode>General</c:formatCode>
                <c:ptCount val="9"/>
                <c:pt idx="0">
                  <c:v>4.1999999999999993</c:v>
                </c:pt>
                <c:pt idx="1">
                  <c:v>3.5</c:v>
                </c:pt>
                <c:pt idx="2">
                  <c:v>2.2000000000000002</c:v>
                </c:pt>
                <c:pt idx="3">
                  <c:v>1.5</c:v>
                </c:pt>
                <c:pt idx="4">
                  <c:v>1.2000000000000002</c:v>
                </c:pt>
                <c:pt idx="5">
                  <c:v>0.99999999999999956</c:v>
                </c:pt>
                <c:pt idx="6">
                  <c:v>0.80000000000000027</c:v>
                </c:pt>
                <c:pt idx="7">
                  <c:v>0.59999999999999987</c:v>
                </c:pt>
                <c:pt idx="8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26-49E8-9D91-7E198FAF2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17984"/>
        <c:axId val="168219904"/>
      </c:scatterChart>
      <c:valAx>
        <c:axId val="168217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19904"/>
        <c:crosses val="autoZero"/>
        <c:crossBetween val="midCat"/>
      </c:valAx>
      <c:valAx>
        <c:axId val="16821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Magnitude of Electric Field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17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1</xdr:row>
      <xdr:rowOff>100012</xdr:rowOff>
    </xdr:from>
    <xdr:to>
      <xdr:col>11</xdr:col>
      <xdr:colOff>352425</xdr:colOff>
      <xdr:row>15</xdr:row>
      <xdr:rowOff>176212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FDAD6D86-5673-D4C5-0F1C-DB575E0461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95250</xdr:colOff>
      <xdr:row>16</xdr:row>
      <xdr:rowOff>157162</xdr:rowOff>
    </xdr:from>
    <xdr:to>
      <xdr:col>11</xdr:col>
      <xdr:colOff>400050</xdr:colOff>
      <xdr:row>31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5118DF-E238-CC80-3186-EAB1AD19B0EB}"/>
            </a:ext>
            <a:ext uri="{147F2762-F138-4A5C-976F-8EAC2B608ADB}">
              <a16:predDERef xmlns:a16="http://schemas.microsoft.com/office/drawing/2014/main" pred="{FDAD6D86-5673-D4C5-0F1C-DB575E0461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114300</xdr:colOff>
      <xdr:row>31</xdr:row>
      <xdr:rowOff>23812</xdr:rowOff>
    </xdr:from>
    <xdr:to>
      <xdr:col>11</xdr:col>
      <xdr:colOff>419100</xdr:colOff>
      <xdr:row>45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D8C423-45C5-5361-CCD9-FF2FA04866D2}"/>
            </a:ext>
            <a:ext uri="{147F2762-F138-4A5C-976F-8EAC2B608ADB}">
              <a16:predDERef xmlns:a16="http://schemas.microsoft.com/office/drawing/2014/main" pred="{C55118DF-E238-CC80-3186-EAB1AD19B0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51"/>
  <sheetViews>
    <sheetView tabSelected="1" topLeftCell="A6" workbookViewId="0">
      <selection activeCell="N7" sqref="N7"/>
    </sheetView>
  </sheetViews>
  <sheetFormatPr defaultColWidth="8.85546875" defaultRowHeight="15"/>
  <sheetData>
    <row r="3" spans="1:3">
      <c r="A3" s="1" t="s">
        <v>0</v>
      </c>
      <c r="B3" s="1"/>
    </row>
    <row r="4" spans="1:3">
      <c r="A4" s="1" t="s">
        <v>1</v>
      </c>
      <c r="B4" s="1" t="s">
        <v>2</v>
      </c>
    </row>
    <row r="5" spans="1:3">
      <c r="A5" s="1">
        <v>0</v>
      </c>
      <c r="B5" s="1">
        <v>18.7</v>
      </c>
    </row>
    <row r="6" spans="1:3">
      <c r="A6" s="1">
        <v>1</v>
      </c>
      <c r="B6" s="1">
        <v>9.5</v>
      </c>
      <c r="C6">
        <f>B5-B6</f>
        <v>9.1999999999999993</v>
      </c>
    </row>
    <row r="7" spans="1:3">
      <c r="A7" s="1">
        <v>2</v>
      </c>
      <c r="B7" s="1">
        <v>8.5</v>
      </c>
      <c r="C7">
        <f t="shared" ref="C7:C15" si="0">B6-B7</f>
        <v>1</v>
      </c>
    </row>
    <row r="8" spans="1:3">
      <c r="A8" s="1">
        <v>3</v>
      </c>
      <c r="B8" s="1">
        <v>7.5</v>
      </c>
      <c r="C8">
        <f t="shared" si="0"/>
        <v>1</v>
      </c>
    </row>
    <row r="9" spans="1:3">
      <c r="A9" s="1">
        <v>4</v>
      </c>
      <c r="B9" s="1">
        <v>7.3</v>
      </c>
      <c r="C9">
        <f t="shared" si="0"/>
        <v>0.20000000000000018</v>
      </c>
    </row>
    <row r="10" spans="1:3">
      <c r="A10" s="1">
        <v>5</v>
      </c>
      <c r="B10" s="1">
        <v>6.8</v>
      </c>
      <c r="C10">
        <f t="shared" si="0"/>
        <v>0.5</v>
      </c>
    </row>
    <row r="11" spans="1:3">
      <c r="A11" s="1">
        <v>6</v>
      </c>
      <c r="B11" s="1">
        <v>6.3</v>
      </c>
      <c r="C11">
        <f t="shared" si="0"/>
        <v>0.5</v>
      </c>
    </row>
    <row r="12" spans="1:3">
      <c r="A12" s="1">
        <v>7</v>
      </c>
      <c r="B12" s="1">
        <v>5.7</v>
      </c>
      <c r="C12">
        <f t="shared" si="0"/>
        <v>0.59999999999999964</v>
      </c>
    </row>
    <row r="13" spans="1:3">
      <c r="A13" s="1">
        <v>8</v>
      </c>
      <c r="B13" s="1">
        <v>4.9000000000000004</v>
      </c>
      <c r="C13">
        <f t="shared" si="0"/>
        <v>0.79999999999999982</v>
      </c>
    </row>
    <row r="14" spans="1:3">
      <c r="A14" s="1">
        <v>9</v>
      </c>
      <c r="B14" s="1">
        <v>4</v>
      </c>
      <c r="C14">
        <f t="shared" si="0"/>
        <v>0.90000000000000036</v>
      </c>
    </row>
    <row r="15" spans="1:3">
      <c r="A15" s="1">
        <v>10</v>
      </c>
      <c r="B15" s="1">
        <v>0</v>
      </c>
      <c r="C15">
        <f t="shared" si="0"/>
        <v>4</v>
      </c>
    </row>
    <row r="16" spans="1:3">
      <c r="A16" s="1"/>
      <c r="B16" s="1"/>
    </row>
    <row r="19" spans="1:3">
      <c r="A19" t="s">
        <v>3</v>
      </c>
    </row>
    <row r="20" spans="1:3">
      <c r="A20" s="1">
        <v>0</v>
      </c>
      <c r="B20">
        <v>16.8</v>
      </c>
    </row>
    <row r="21" spans="1:3">
      <c r="A21" s="1">
        <v>1</v>
      </c>
      <c r="B21">
        <v>15.6</v>
      </c>
      <c r="C21">
        <f t="shared" ref="C21:C28" si="1">B20-B21</f>
        <v>1.2000000000000011</v>
      </c>
    </row>
    <row r="22" spans="1:3">
      <c r="A22" s="1">
        <v>2</v>
      </c>
      <c r="B22">
        <v>13.4</v>
      </c>
      <c r="C22">
        <f t="shared" si="1"/>
        <v>2.1999999999999993</v>
      </c>
    </row>
    <row r="23" spans="1:3">
      <c r="A23" s="1">
        <v>3</v>
      </c>
      <c r="B23">
        <v>11.5</v>
      </c>
      <c r="C23">
        <f t="shared" si="1"/>
        <v>1.9000000000000004</v>
      </c>
    </row>
    <row r="24" spans="1:3">
      <c r="A24" s="1">
        <v>4</v>
      </c>
      <c r="B24">
        <v>9.4</v>
      </c>
      <c r="C24">
        <f t="shared" si="1"/>
        <v>2.0999999999999996</v>
      </c>
    </row>
    <row r="25" spans="1:3">
      <c r="A25" s="1">
        <v>5</v>
      </c>
      <c r="B25">
        <v>7.4</v>
      </c>
      <c r="C25">
        <f t="shared" si="1"/>
        <v>2</v>
      </c>
    </row>
    <row r="26" spans="1:3">
      <c r="A26" s="1">
        <v>6</v>
      </c>
      <c r="B26">
        <v>5.5</v>
      </c>
      <c r="C26">
        <f t="shared" si="1"/>
        <v>1.9000000000000004</v>
      </c>
    </row>
    <row r="27" spans="1:3">
      <c r="A27" s="1">
        <v>7</v>
      </c>
      <c r="B27">
        <v>3.2</v>
      </c>
      <c r="C27">
        <f t="shared" si="1"/>
        <v>2.2999999999999998</v>
      </c>
    </row>
    <row r="28" spans="1:3">
      <c r="A28" s="1">
        <v>8</v>
      </c>
      <c r="B28">
        <v>2.1</v>
      </c>
      <c r="C28">
        <f t="shared" si="1"/>
        <v>1.1000000000000001</v>
      </c>
    </row>
    <row r="33" spans="1:4">
      <c r="A33" t="s">
        <v>4</v>
      </c>
    </row>
    <row r="34" spans="1:4">
      <c r="A34" s="1">
        <v>0</v>
      </c>
      <c r="B34">
        <v>16.7</v>
      </c>
    </row>
    <row r="35" spans="1:4">
      <c r="A35" s="1">
        <v>1</v>
      </c>
      <c r="B35">
        <v>12.5</v>
      </c>
      <c r="C35">
        <f t="shared" ref="C35:C43" si="2">B34-B35</f>
        <v>4.1999999999999993</v>
      </c>
    </row>
    <row r="36" spans="1:4">
      <c r="A36" s="1">
        <v>2</v>
      </c>
      <c r="B36">
        <v>9</v>
      </c>
      <c r="C36">
        <f t="shared" si="2"/>
        <v>3.5</v>
      </c>
    </row>
    <row r="37" spans="1:4">
      <c r="A37" s="1">
        <v>3</v>
      </c>
      <c r="B37">
        <v>6.8</v>
      </c>
      <c r="C37">
        <f t="shared" si="2"/>
        <v>2.2000000000000002</v>
      </c>
    </row>
    <row r="38" spans="1:4">
      <c r="A38" s="1">
        <v>4</v>
      </c>
      <c r="B38">
        <v>5.3</v>
      </c>
      <c r="C38">
        <f t="shared" si="2"/>
        <v>1.5</v>
      </c>
    </row>
    <row r="39" spans="1:4">
      <c r="A39" s="1">
        <v>5</v>
      </c>
      <c r="B39">
        <v>4.0999999999999996</v>
      </c>
      <c r="C39">
        <f t="shared" si="2"/>
        <v>1.2000000000000002</v>
      </c>
    </row>
    <row r="40" spans="1:4">
      <c r="A40" s="1">
        <v>6</v>
      </c>
      <c r="B40">
        <v>3.1</v>
      </c>
      <c r="C40">
        <f t="shared" si="2"/>
        <v>0.99999999999999956</v>
      </c>
    </row>
    <row r="41" spans="1:4">
      <c r="A41" s="1">
        <v>7</v>
      </c>
      <c r="B41">
        <v>2.2999999999999998</v>
      </c>
      <c r="C41">
        <f t="shared" si="2"/>
        <v>0.80000000000000027</v>
      </c>
    </row>
    <row r="42" spans="1:4">
      <c r="A42" s="1">
        <v>8</v>
      </c>
      <c r="B42">
        <v>1.7</v>
      </c>
      <c r="C42">
        <f t="shared" si="2"/>
        <v>0.59999999999999987</v>
      </c>
    </row>
    <row r="43" spans="1:4">
      <c r="A43">
        <v>9</v>
      </c>
      <c r="B43">
        <v>1.2</v>
      </c>
      <c r="C43">
        <f t="shared" si="2"/>
        <v>0.5</v>
      </c>
    </row>
    <row r="45" spans="1:4">
      <c r="B45" t="s">
        <v>5</v>
      </c>
    </row>
    <row r="46" spans="1:4">
      <c r="C46">
        <f>((-1.01+1)/-1)*100</f>
        <v>1.0000000000000009</v>
      </c>
    </row>
    <row r="47" spans="1:4">
      <c r="B47" t="s">
        <v>6</v>
      </c>
      <c r="C47" t="s">
        <v>7</v>
      </c>
      <c r="D47" t="s">
        <v>8</v>
      </c>
    </row>
    <row r="48" spans="1:4">
      <c r="B48">
        <v>-1.01</v>
      </c>
      <c r="C48">
        <v>-1</v>
      </c>
      <c r="D48">
        <f>((-1.01+1)/-1)*100</f>
        <v>1.0000000000000009</v>
      </c>
    </row>
    <row r="51" spans="3:4">
      <c r="C51">
        <f>ABS(B48-C48)/ABS(C48)*100</f>
        <v>1.0000000000000009</v>
      </c>
      <c r="D51" t="s">
        <v>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e48c1bd-eba8-4458-a7ad-5e6c8c925a7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40EDC9355EE34787B8D235C7AD7CD6" ma:contentTypeVersion="10" ma:contentTypeDescription="Create a new document." ma:contentTypeScope="" ma:versionID="1a07e58a5fee3990686cb7dd0ba23845">
  <xsd:schema xmlns:xsd="http://www.w3.org/2001/XMLSchema" xmlns:xs="http://www.w3.org/2001/XMLSchema" xmlns:p="http://schemas.microsoft.com/office/2006/metadata/properties" xmlns:ns3="2e48c1bd-eba8-4458-a7ad-5e6c8c925a7b" targetNamespace="http://schemas.microsoft.com/office/2006/metadata/properties" ma:root="true" ma:fieldsID="6fa97572e06edf639ca37e23f972ef8c" ns3:_="">
    <xsd:import namespace="2e48c1bd-eba8-4458-a7ad-5e6c8c925a7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48c1bd-eba8-4458-a7ad-5e6c8c925a7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A3FD28-7B61-4DF7-83AB-AE0278F2FDBA}"/>
</file>

<file path=customXml/itemProps2.xml><?xml version="1.0" encoding="utf-8"?>
<ds:datastoreItem xmlns:ds="http://schemas.openxmlformats.org/officeDocument/2006/customXml" ds:itemID="{4A3F45E4-8DB4-4BBD-B8AA-5341525BFFEE}"/>
</file>

<file path=customXml/itemProps3.xml><?xml version="1.0" encoding="utf-8"?>
<ds:datastoreItem xmlns:ds="http://schemas.openxmlformats.org/officeDocument/2006/customXml" ds:itemID="{7963E536-CBBF-406F-8CFD-266EE056C6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Miller</dc:creator>
  <cp:keywords/>
  <dc:description/>
  <cp:lastModifiedBy/>
  <cp:revision/>
  <dcterms:created xsi:type="dcterms:W3CDTF">2015-06-05T18:17:20Z</dcterms:created>
  <dcterms:modified xsi:type="dcterms:W3CDTF">2026-02-16T18:08:50Z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3188ad8-4875-42e6-925c-bd11f6824504_Enabled">
    <vt:lpwstr>true</vt:lpwstr>
  </property>
  <property fmtid="{D5CDD505-2E9C-101B-9397-08002B2CF9AE}" pid="3" name="MSIP_Label_33188ad8-4875-42e6-925c-bd11f6824504_SetDate">
    <vt:lpwstr>2026-02-09T19:47:50Z</vt:lpwstr>
  </property>
  <property fmtid="{D5CDD505-2E9C-101B-9397-08002B2CF9AE}" pid="4" name="MSIP_Label_33188ad8-4875-42e6-925c-bd11f6824504_Method">
    <vt:lpwstr>Standard</vt:lpwstr>
  </property>
  <property fmtid="{D5CDD505-2E9C-101B-9397-08002B2CF9AE}" pid="5" name="MSIP_Label_33188ad8-4875-42e6-925c-bd11f6824504_Name">
    <vt:lpwstr>defa4170-0d19-0005-0004-bc88714345d2</vt:lpwstr>
  </property>
  <property fmtid="{D5CDD505-2E9C-101B-9397-08002B2CF9AE}" pid="6" name="MSIP_Label_33188ad8-4875-42e6-925c-bd11f6824504_SiteId">
    <vt:lpwstr>8143a300-2c64-4dd4-bb14-bcd3f04c1963</vt:lpwstr>
  </property>
  <property fmtid="{D5CDD505-2E9C-101B-9397-08002B2CF9AE}" pid="7" name="MSIP_Label_33188ad8-4875-42e6-925c-bd11f6824504_ActionId">
    <vt:lpwstr>eee83c11-fdc3-46f9-909c-3a88544c1782</vt:lpwstr>
  </property>
  <property fmtid="{D5CDD505-2E9C-101B-9397-08002B2CF9AE}" pid="8" name="MSIP_Label_33188ad8-4875-42e6-925c-bd11f6824504_ContentBits">
    <vt:lpwstr>0</vt:lpwstr>
  </property>
  <property fmtid="{D5CDD505-2E9C-101B-9397-08002B2CF9AE}" pid="9" name="MSIP_Label_33188ad8-4875-42e6-925c-bd11f6824504_Tag">
    <vt:lpwstr>10, 3, 0, 1</vt:lpwstr>
  </property>
  <property fmtid="{D5CDD505-2E9C-101B-9397-08002B2CF9AE}" pid="10" name="ContentTypeId">
    <vt:lpwstr>0x010100C140EDC9355EE34787B8D235C7AD7CD6</vt:lpwstr>
  </property>
</Properties>
</file>