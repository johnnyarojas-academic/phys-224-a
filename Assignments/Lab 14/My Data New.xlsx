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Calculations " sheetId="1" r:id="rId5"/>
  </sheets>
  <definedNames/>
  <calcPr/>
</workbook>
</file>

<file path=xl/sharedStrings.xml><?xml version="1.0" encoding="utf-8"?>
<sst xmlns="http://schemas.openxmlformats.org/spreadsheetml/2006/main" count="42" uniqueCount="33">
  <si>
    <t>Lab 14: Balmer Series &amp; Rydberg Constant</t>
  </si>
  <si>
    <t>Activity #1: Measuring Lines per Unit Length of the Diffraction Gratting (Mercury Source)</t>
  </si>
  <si>
    <t>Setup Parameters</t>
  </si>
  <si>
    <t>L (grating to ruler)</t>
  </si>
  <si>
    <t>m</t>
  </si>
  <si>
    <t>Diffraction order (m)</t>
  </si>
  <si>
    <t>NIST Mercury Wavelengths (Source: https://physics.nist.gov/PhysRefData/Handbook/Tables/mercurytable2.htm)</t>
  </si>
  <si>
    <t>Color</t>
  </si>
  <si>
    <t>λ (m) [NIST]</t>
  </si>
  <si>
    <t>x_right (m)</t>
  </si>
  <si>
    <t>x_left (m)</t>
  </si>
  <si>
    <t>x_avg (m)</t>
  </si>
  <si>
    <t>θ (rad)</t>
  </si>
  <si>
    <t>d (m)</t>
  </si>
  <si>
    <t>N (lines/mm)</t>
  </si>
  <si>
    <t>Red</t>
  </si>
  <si>
    <t>Green/Cyan</t>
  </si>
  <si>
    <t>Violet</t>
  </si>
  <si>
    <t>Average:</t>
  </si>
  <si>
    <t>Formula used:  d = (m × λ) / sin(θ)   where  θ = arctan(x / L)</t>
  </si>
  <si>
    <t>Activity #2 — Verify Balmer's Formula &amp; Measure Rydberg Constant (R)</t>
  </si>
  <si>
    <t>d_avg from Activity #1:</t>
  </si>
  <si>
    <t>Diffraction order (m):</t>
  </si>
  <si>
    <t>λ_exp (m)</t>
  </si>
  <si>
    <t>n</t>
  </si>
  <si>
    <t>1/λ_exp (m^-1)</t>
  </si>
  <si>
    <t>R_measured (m^-1)</t>
  </si>
  <si>
    <t>Green</t>
  </si>
  <si>
    <t>Average R:</t>
  </si>
  <si>
    <t>Formula used:  λ = d·sin(θ)/m     R = (1/λ) / (1/2² − 1/n²)</t>
  </si>
  <si>
    <t>Expected R (eClass):</t>
  </si>
  <si>
    <t>R_exp</t>
  </si>
  <si>
    <t>%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</si>
</sst>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i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2A2A2A"/>
      <name val="Arial"/>
    </font>
    <font>
      <b/>
      <sz val="13.0"/>
      <color theme="1"/>
      <name val="Calibri"/>
    </font>
    <font>
      <b/>
      <sz val="2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1" fillId="2" fontId="1" numFmtId="0" xfId="0" applyBorder="1" applyFill="1" applyFont="1"/>
    <xf borderId="0" fillId="0" fontId="3" numFmtId="0" xfId="0" applyFont="1"/>
    <xf borderId="0" fillId="0" fontId="2" numFmtId="0" xfId="0" applyFont="1"/>
    <xf borderId="0" fillId="0" fontId="4" numFmtId="11" xfId="0" applyFont="1" applyNumberFormat="1"/>
    <xf borderId="0" fillId="0" fontId="3" numFmtId="11" xfId="0" applyFont="1" applyNumberFormat="1"/>
    <xf borderId="1" fillId="3" fontId="4" numFmtId="11" xfId="0" applyBorder="1" applyFill="1" applyFont="1" applyNumberFormat="1"/>
    <xf borderId="0" fillId="0" fontId="5" numFmtId="0" xfId="0" applyFont="1"/>
    <xf borderId="0" fillId="0" fontId="6" numFmtId="0" xfId="0" applyAlignment="1" applyFont="1">
      <alignment vertical="center"/>
    </xf>
    <xf borderId="1" fillId="2" fontId="4" numFmtId="0" xfId="0" applyBorder="1" applyFont="1"/>
    <xf borderId="0" fillId="0" fontId="3" numFmtId="0" xfId="0" applyFont="1"/>
    <xf borderId="0" fillId="0" fontId="7" numFmtId="0" xfId="0" applyFon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1.14"/>
    <col customWidth="1" min="3" max="3" width="10.71"/>
    <col customWidth="1" min="4" max="4" width="9.71"/>
    <col customWidth="1" min="5" max="5" width="9.57"/>
    <col customWidth="1" min="6" max="6" width="19.71"/>
    <col customWidth="1" min="7" max="7" width="12.0"/>
    <col customWidth="1" min="8" max="8" width="13.0"/>
    <col customWidth="1" min="9" max="9" width="18.57"/>
    <col customWidth="1" min="10" max="10" width="23.29"/>
    <col customWidth="1" min="11" max="11" width="8.71"/>
    <col customWidth="1" min="12" max="12" width="17.43"/>
    <col customWidth="1" min="1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>
        <v>0.3</v>
      </c>
      <c r="C5" s="4" t="s">
        <v>4</v>
      </c>
    </row>
    <row r="6">
      <c r="A6" s="4" t="s">
        <v>5</v>
      </c>
      <c r="B6" s="4">
        <v>1.0</v>
      </c>
    </row>
    <row r="8">
      <c r="A8" s="5" t="s">
        <v>6</v>
      </c>
    </row>
    <row r="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6"/>
      <c r="J9" s="6"/>
      <c r="L9" s="6"/>
    </row>
    <row r="10">
      <c r="A10" s="4" t="s">
        <v>15</v>
      </c>
      <c r="B10" s="4">
        <f>0.000000691</f>
        <v>0.000000691</v>
      </c>
      <c r="C10" s="4">
        <v>0.26</v>
      </c>
      <c r="D10" s="4">
        <v>0.26</v>
      </c>
      <c r="E10" s="4">
        <f t="shared" ref="E10:E12" si="1">AVERAGE(C10:D10)</f>
        <v>0.26</v>
      </c>
      <c r="F10" s="4">
        <f>ATAN(E10/B5)</f>
        <v>0.7140906986</v>
      </c>
      <c r="G10" s="7">
        <f>B6*B10/SIN(F10)</f>
        <v>0.000001055073721</v>
      </c>
      <c r="H10" s="7">
        <f t="shared" ref="H10:H12" si="2">1/G10/1000</f>
        <v>947.8010686</v>
      </c>
      <c r="L10" s="6"/>
    </row>
    <row r="11">
      <c r="A11" s="4" t="s">
        <v>16</v>
      </c>
      <c r="B11" s="4">
        <f>0.000000546</f>
        <v>0.000000546</v>
      </c>
      <c r="C11" s="4">
        <v>0.195</v>
      </c>
      <c r="D11" s="4">
        <v>0.21</v>
      </c>
      <c r="E11" s="4">
        <f t="shared" si="1"/>
        <v>0.2025</v>
      </c>
      <c r="F11" s="4">
        <f>ATAN(E11/B5)</f>
        <v>0.5937496667</v>
      </c>
      <c r="G11" s="7">
        <f>B6*B11/SIN(F11)</f>
        <v>0.0000009759186619</v>
      </c>
      <c r="H11" s="7">
        <f t="shared" si="2"/>
        <v>1024.675559</v>
      </c>
      <c r="I11" s="6"/>
      <c r="J11" s="6"/>
      <c r="L11" s="6"/>
    </row>
    <row r="12">
      <c r="A12" s="4" t="s">
        <v>17</v>
      </c>
      <c r="B12" s="6">
        <f>0.000000436</f>
        <v>0.000000436</v>
      </c>
      <c r="C12" s="4">
        <v>0.144</v>
      </c>
      <c r="D12" s="4">
        <v>0.145</v>
      </c>
      <c r="E12" s="4">
        <f t="shared" si="1"/>
        <v>0.1445</v>
      </c>
      <c r="F12" s="4">
        <f>ATAN(E12/B5)</f>
        <v>0.4488736672</v>
      </c>
      <c r="G12" s="6">
        <f>B6*B12/SIN(F12)</f>
        <v>0.000001004721603</v>
      </c>
      <c r="H12" s="7">
        <f t="shared" si="2"/>
        <v>995.3005856</v>
      </c>
    </row>
    <row r="13">
      <c r="F13" s="1" t="s">
        <v>18</v>
      </c>
      <c r="G13" s="8">
        <f t="shared" ref="G13:H13" si="3">AVERAGE(G10:G12)</f>
        <v>0.000001011904662</v>
      </c>
      <c r="H13" s="8">
        <f t="shared" si="3"/>
        <v>989.2590709</v>
      </c>
    </row>
    <row r="14">
      <c r="A14" s="2" t="s">
        <v>19</v>
      </c>
      <c r="M14" s="9"/>
    </row>
    <row r="17">
      <c r="A17" s="5" t="s">
        <v>20</v>
      </c>
      <c r="H17" s="10"/>
    </row>
    <row r="19">
      <c r="A19" s="11" t="s">
        <v>2</v>
      </c>
    </row>
    <row r="20">
      <c r="A20" s="4" t="s">
        <v>21</v>
      </c>
      <c r="B20" s="7">
        <f>G13</f>
        <v>0.000001011904662</v>
      </c>
      <c r="C20" s="4" t="s">
        <v>4</v>
      </c>
    </row>
    <row r="21" ht="15.75" customHeight="1">
      <c r="A21" s="4" t="s">
        <v>22</v>
      </c>
      <c r="B21" s="4">
        <v>1.0</v>
      </c>
      <c r="H21" s="10"/>
    </row>
    <row r="22" ht="15.75" customHeight="1"/>
    <row r="23" ht="15.75" customHeight="1">
      <c r="A23" s="3" t="s">
        <v>7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23</v>
      </c>
      <c r="G23" s="3" t="s">
        <v>24</v>
      </c>
      <c r="H23" s="3" t="s">
        <v>25</v>
      </c>
      <c r="I23" s="3" t="s">
        <v>26</v>
      </c>
    </row>
    <row r="24" ht="15.75" customHeight="1">
      <c r="A24" s="4" t="s">
        <v>15</v>
      </c>
      <c r="B24" s="4">
        <v>0.27</v>
      </c>
      <c r="C24" s="4">
        <v>0.275</v>
      </c>
      <c r="D24" s="4">
        <f t="shared" ref="D24:D26" si="4">AVERAGE(B24:C24)</f>
        <v>0.2725</v>
      </c>
      <c r="E24" s="12">
        <f>ATAN(D24/B5)</f>
        <v>0.7374001224</v>
      </c>
      <c r="F24" s="7">
        <f>B20*SIN(E24)/B21</f>
        <v>0.0000006803699935</v>
      </c>
      <c r="G24" s="4">
        <v>3.0</v>
      </c>
      <c r="H24" s="7">
        <f t="shared" ref="H24:H26" si="5">1/F24</f>
        <v>1469788.512</v>
      </c>
      <c r="I24" s="7">
        <f t="shared" ref="I24:I26" si="6">H24/(1/4-1/G24^2)</f>
        <v>10582477.28</v>
      </c>
    </row>
    <row r="25" ht="15.75" customHeight="1">
      <c r="A25" s="4" t="s">
        <v>27</v>
      </c>
      <c r="B25" s="4">
        <v>0.19</v>
      </c>
      <c r="C25" s="4">
        <v>0.19</v>
      </c>
      <c r="D25" s="4">
        <f t="shared" si="4"/>
        <v>0.19</v>
      </c>
      <c r="E25" s="12">
        <f>ATAN(D25/B5)</f>
        <v>0.5645693937</v>
      </c>
      <c r="F25" s="7">
        <f>B20*SIN(E25)/B21</f>
        <v>0.0000005414216953</v>
      </c>
      <c r="G25" s="4">
        <v>4.0</v>
      </c>
      <c r="H25" s="7">
        <f t="shared" si="5"/>
        <v>1846989.156</v>
      </c>
      <c r="I25" s="7">
        <f t="shared" si="6"/>
        <v>9850608.831</v>
      </c>
    </row>
    <row r="26" ht="15.75" customHeight="1">
      <c r="A26" s="4" t="s">
        <v>17</v>
      </c>
      <c r="B26" s="4">
        <v>0.152</v>
      </c>
      <c r="C26" s="4">
        <v>0.155</v>
      </c>
      <c r="D26" s="4">
        <f t="shared" si="4"/>
        <v>0.1535</v>
      </c>
      <c r="E26" s="12">
        <f>ATAN(D26/B5)</f>
        <v>0.4729373219</v>
      </c>
      <c r="F26" s="7">
        <f>B20*SIN(E26)/B21</f>
        <v>0.0000004609257619</v>
      </c>
      <c r="G26" s="4">
        <v>5.0</v>
      </c>
      <c r="H26" s="7">
        <f t="shared" si="5"/>
        <v>2169546.774</v>
      </c>
      <c r="I26" s="7">
        <f t="shared" si="6"/>
        <v>10331175.12</v>
      </c>
      <c r="W26" s="1"/>
    </row>
    <row r="27" ht="15.75" customHeight="1">
      <c r="H27" s="1" t="s">
        <v>28</v>
      </c>
      <c r="I27" s="8">
        <f>AVERAGE(I24:I26)</f>
        <v>10254753.74</v>
      </c>
    </row>
    <row r="28" ht="15.75" customHeight="1">
      <c r="A28" s="5" t="s">
        <v>29</v>
      </c>
    </row>
    <row r="29" ht="15.75" customHeight="1">
      <c r="H29" s="13"/>
    </row>
    <row r="30" ht="15.75" customHeight="1"/>
    <row r="31" ht="15.75" customHeight="1">
      <c r="A31" s="4" t="s">
        <v>30</v>
      </c>
      <c r="B31" s="6">
        <f>10970000</f>
        <v>10970000</v>
      </c>
    </row>
    <row r="32" ht="15.75" customHeight="1">
      <c r="A32" s="4" t="s">
        <v>31</v>
      </c>
      <c r="B32" s="7">
        <f>I27</f>
        <v>10254753.74</v>
      </c>
    </row>
    <row r="33" ht="15.75" customHeight="1">
      <c r="A33" s="4" t="s">
        <v>32</v>
      </c>
      <c r="B33" s="14">
        <f>ABS(B32-B31)/B31*100</f>
        <v>6.520020571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8:H8"/>
    <mergeCell ref="A14:H14"/>
    <mergeCell ref="A28:I28"/>
  </mergeCells>
  <printOptions/>
  <pageMargins bottom="0.75" footer="0.0" header="0.0" left="0.7" right="0.7" top="0.75"/>
  <pageSetup fitToWidth="0" orientation="landscape"/>
  <drawing r:id="rId1"/>
</worksheet>
</file>